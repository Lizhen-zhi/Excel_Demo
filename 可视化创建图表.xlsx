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XX\求职作品集\Excel\"/>
    </mc:Choice>
  </mc:AlternateContent>
  <xr:revisionPtr revIDLastSave="0" documentId="8_{8FDB0F6B-2884-4C4E-B2BE-2A3AC683DE65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Create your chart here" sheetId="1" r:id="rId1"/>
    <sheet name="Data" sheetId="2" r:id="rId2"/>
  </sheets>
  <definedNames>
    <definedName name="_xlnm._FilterDatabase" localSheetId="0" hidden="1">'Create your chart here'!$B$3:$C$7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2" l="1"/>
  <c r="H31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F12" i="2"/>
  <c r="M4" i="2" s="1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M5" i="2"/>
  <c r="L5" i="2"/>
  <c r="I5" i="2"/>
  <c r="H5" i="2"/>
  <c r="G5" i="2"/>
  <c r="L4" i="2"/>
  <c r="I4" i="2"/>
  <c r="H4" i="2"/>
  <c r="G4" i="2"/>
  <c r="M3" i="2"/>
  <c r="L3" i="2"/>
  <c r="I3" i="2"/>
  <c r="H3" i="2"/>
  <c r="G3" i="2"/>
  <c r="M2" i="2"/>
  <c r="L2" i="2"/>
  <c r="I2" i="2"/>
  <c r="H2" i="2"/>
  <c r="G2" i="2"/>
</calcChain>
</file>

<file path=xl/sharedStrings.xml><?xml version="1.0" encoding="utf-8"?>
<sst xmlns="http://schemas.openxmlformats.org/spreadsheetml/2006/main" count="108" uniqueCount="77">
  <si>
    <t>Use this data to create and insert your chart on this sheet</t>
  </si>
  <si>
    <t>Store Name</t>
  </si>
  <si>
    <t>Total Purchases</t>
  </si>
  <si>
    <t>Candy's Beauty Supply</t>
  </si>
  <si>
    <t>Rockland's</t>
  </si>
  <si>
    <t>Rudiger Pharmacy</t>
  </si>
  <si>
    <t>Elizabethtown Supply</t>
  </si>
  <si>
    <t>Product Codes</t>
  </si>
  <si>
    <t>Price</t>
  </si>
  <si>
    <t>Client</t>
  </si>
  <si>
    <t>Client Code</t>
  </si>
  <si>
    <t>Orders</t>
  </si>
  <si>
    <t>Total</t>
  </si>
  <si>
    <t>Product ID 1</t>
  </si>
  <si>
    <t>Product ID 2</t>
  </si>
  <si>
    <t>Store State</t>
  </si>
  <si>
    <t>51993Masc</t>
  </si>
  <si>
    <t>PINNC980</t>
  </si>
  <si>
    <t>49631Foun</t>
  </si>
  <si>
    <t>ARLVA283</t>
  </si>
  <si>
    <t>42292Glos</t>
  </si>
  <si>
    <t>CHEMD763</t>
  </si>
  <si>
    <t>86661Shad</t>
  </si>
  <si>
    <t>COLSC761</t>
  </si>
  <si>
    <t>49541Eyel</t>
  </si>
  <si>
    <t>ARLVA425</t>
  </si>
  <si>
    <t>58337Foun</t>
  </si>
  <si>
    <t>PINNC939</t>
  </si>
  <si>
    <t>40014Masc</t>
  </si>
  <si>
    <t>COLSC649</t>
  </si>
  <si>
    <t>86139Lips</t>
  </si>
  <si>
    <t>PINNC496</t>
  </si>
  <si>
    <t>69601Exfo</t>
  </si>
  <si>
    <t>ARLVA851</t>
  </si>
  <si>
    <t>25331Glos</t>
  </si>
  <si>
    <t>ARLVA924</t>
  </si>
  <si>
    <t>85021Foun</t>
  </si>
  <si>
    <t>CHEMD339</t>
  </si>
  <si>
    <t>69030Masc</t>
  </si>
  <si>
    <t>COLSC970</t>
  </si>
  <si>
    <t>13230Masc</t>
  </si>
  <si>
    <t>ARLVA519</t>
  </si>
  <si>
    <t>91559Eyel</t>
  </si>
  <si>
    <t>PINNC674</t>
  </si>
  <si>
    <t>62289Masc</t>
  </si>
  <si>
    <t>COLSC887</t>
  </si>
  <si>
    <t>64762Foun</t>
  </si>
  <si>
    <t>CHEMD913</t>
  </si>
  <si>
    <t>52341Foun</t>
  </si>
  <si>
    <t>COLSC741</t>
  </si>
  <si>
    <t>68713Exfo</t>
  </si>
  <si>
    <t>ARLVA727</t>
  </si>
  <si>
    <t>35073Foun</t>
  </si>
  <si>
    <t>COLSC813</t>
  </si>
  <si>
    <t>17691Masc</t>
  </si>
  <si>
    <t>COLSC533</t>
  </si>
  <si>
    <t>03485Eyel</t>
  </si>
  <si>
    <t>CHEMD887</t>
  </si>
  <si>
    <t>26156Foun</t>
  </si>
  <si>
    <t>PINNC615</t>
  </si>
  <si>
    <t>75112Foun</t>
  </si>
  <si>
    <t>COLSC133</t>
  </si>
  <si>
    <t>96799Foun</t>
  </si>
  <si>
    <t>CHEMD365</t>
  </si>
  <si>
    <t>20559Shad</t>
  </si>
  <si>
    <t>COLSC201</t>
  </si>
  <si>
    <t>32729Masc</t>
  </si>
  <si>
    <t>COLSC481</t>
  </si>
  <si>
    <t>63094Exfo</t>
  </si>
  <si>
    <t>PINNC547</t>
  </si>
  <si>
    <t>61207Foun</t>
  </si>
  <si>
    <t>CHEMD323</t>
  </si>
  <si>
    <t>17269Masc</t>
  </si>
  <si>
    <t>ARLVA876</t>
  </si>
  <si>
    <t>15143Exfo</t>
  </si>
  <si>
    <t>CHEMD584</t>
  </si>
  <si>
    <t>Store Name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</si>
</sst>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.00"/>
  </numFmts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Monospace"/>
    </font>
    <font>
      <sz val="10"/>
      <color rgb="FF000000"/>
      <name val="Arial"/>
      <family val="2"/>
      <scheme val="minor"/>
    </font>
    <font>
      <sz val="9"/>
      <name val="Arial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176" fontId="3" fillId="0" borderId="0" xfId="0" applyNumberFormat="1" applyFont="1" applyAlignment="1">
      <alignment horizontal="right"/>
    </xf>
    <xf numFmtId="0" fontId="2" fillId="3" borderId="0" xfId="0" applyFont="1" applyFill="1"/>
    <xf numFmtId="0" fontId="1" fillId="3" borderId="0" xfId="0" applyFont="1" applyFill="1"/>
    <xf numFmtId="176" fontId="1" fillId="0" borderId="0" xfId="0" applyNumberFormat="1" applyFont="1"/>
    <xf numFmtId="0" fontId="4" fillId="4" borderId="0" xfId="0" applyFont="1" applyFill="1"/>
    <xf numFmtId="176" fontId="5" fillId="0" borderId="0" xfId="0" applyNumberFormat="1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71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Total Purchases vs.Store</a:t>
            </a:r>
            <a:r>
              <a:rPr lang="en-US" altLang="zh-CN" baseline="0"/>
              <a:t> Name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'Create your chart here'!$C$3</c:f>
              <c:strCache>
                <c:ptCount val="1"/>
                <c:pt idx="0">
                  <c:v>Total Purchases</c:v>
                </c:pt>
              </c:strCache>
            </c:strRef>
          </c:tx>
          <c:spPr>
            <a:solidFill>
              <a:srgbClr val="0071BC"/>
            </a:solidFill>
            <a:ln>
              <a:noFill/>
            </a:ln>
            <a:effectLst/>
          </c:spPr>
          <c:invertIfNegative val="0"/>
          <c:cat>
            <c:strRef>
              <c:f>'Create your chart here'!$B$4:$B$7</c:f>
              <c:strCache>
                <c:ptCount val="4"/>
                <c:pt idx="0">
                  <c:v>Candy's Beauty Supply</c:v>
                </c:pt>
                <c:pt idx="1">
                  <c:v>Rockland's</c:v>
                </c:pt>
                <c:pt idx="2">
                  <c:v>Rudiger Pharmacy</c:v>
                </c:pt>
                <c:pt idx="3">
                  <c:v>Elizabethtown Supply</c:v>
                </c:pt>
              </c:strCache>
            </c:strRef>
          </c:cat>
          <c:val>
            <c:numRef>
              <c:f>'Create your chart here'!$C$4:$C$7</c:f>
              <c:numCache>
                <c:formatCode>"$"#,##0.00</c:formatCode>
                <c:ptCount val="4"/>
                <c:pt idx="0">
                  <c:v>23541.020000000004</c:v>
                </c:pt>
                <c:pt idx="1">
                  <c:v>12794.67</c:v>
                </c:pt>
                <c:pt idx="2">
                  <c:v>48753.88</c:v>
                </c:pt>
                <c:pt idx="3">
                  <c:v>46644.42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5-4837-87A1-BE8DE4A8B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255472"/>
        <c:axId val="491256432"/>
      </c:barChart>
      <c:catAx>
        <c:axId val="49125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Store</a:t>
                </a:r>
                <a:r>
                  <a:rPr lang="en-US" altLang="zh-CN" baseline="0"/>
                  <a:t> Name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256432"/>
        <c:crosses val="autoZero"/>
        <c:auto val="1"/>
        <c:lblAlgn val="ctr"/>
        <c:lblOffset val="100"/>
        <c:noMultiLvlLbl val="0"/>
      </c:catAx>
      <c:valAx>
        <c:axId val="49125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Total</a:t>
                </a:r>
                <a:r>
                  <a:rPr lang="en-US" altLang="zh-CN" baseline="0"/>
                  <a:t> Purchases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25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78580</xdr:colOff>
      <xdr:row>3</xdr:row>
      <xdr:rowOff>83343</xdr:rowOff>
    </xdr:from>
    <xdr:to>
      <xdr:col>8</xdr:col>
      <xdr:colOff>150018</xdr:colOff>
      <xdr:row>17</xdr:row>
      <xdr:rowOff>26193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8D3E000-B142-A910-2A40-CCC3552B9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"/>
  <sheetViews>
    <sheetView tabSelected="1" workbookViewId="0">
      <selection activeCell="F21" sqref="F21"/>
    </sheetView>
  </sheetViews>
  <sheetFormatPr defaultColWidth="12.59765625" defaultRowHeight="15.75" customHeight="1"/>
  <cols>
    <col min="2" max="2" width="18.59765625" customWidth="1"/>
    <col min="3" max="3" width="14.73046875" customWidth="1"/>
  </cols>
  <sheetData>
    <row r="1" spans="1:26">
      <c r="A1" s="1" t="s">
        <v>0</v>
      </c>
    </row>
    <row r="3" spans="1:26" ht="15.75" customHeight="1">
      <c r="A3" s="2"/>
      <c r="B3" s="3" t="s">
        <v>76</v>
      </c>
      <c r="C3" s="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B4" s="4" t="s">
        <v>3</v>
      </c>
      <c r="C4" s="5">
        <v>23541.020000000004</v>
      </c>
    </row>
    <row r="5" spans="1:26">
      <c r="B5" s="4" t="s">
        <v>4</v>
      </c>
      <c r="C5" s="5">
        <v>12794.67</v>
      </c>
    </row>
    <row r="6" spans="1:26">
      <c r="B6" s="4" t="s">
        <v>5</v>
      </c>
      <c r="C6" s="5">
        <v>48753.88</v>
      </c>
    </row>
    <row r="7" spans="1:26">
      <c r="B7" s="4" t="s">
        <v>6</v>
      </c>
      <c r="C7" s="5">
        <v>46644.42</v>
      </c>
    </row>
  </sheetData>
  <autoFilter ref="B3:C7" xr:uid="{00000000-0001-0000-0000-000000000000}"/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31"/>
  <sheetViews>
    <sheetView workbookViewId="0"/>
  </sheetViews>
  <sheetFormatPr defaultColWidth="12.59765625" defaultRowHeight="15.75" customHeight="1"/>
  <cols>
    <col min="1" max="1" width="16" customWidth="1"/>
    <col min="2" max="2" width="7.73046875" customWidth="1"/>
    <col min="3" max="3" width="19.59765625" customWidth="1"/>
    <col min="4" max="4" width="11.59765625" customWidth="1"/>
    <col min="5" max="5" width="7.265625" customWidth="1"/>
    <col min="6" max="6" width="10.59765625" customWidth="1"/>
    <col min="7" max="7" width="12" customWidth="1"/>
    <col min="8" max="8" width="11.3984375" customWidth="1"/>
    <col min="9" max="9" width="12.3984375" customWidth="1"/>
    <col min="10" max="10" width="18.3984375" customWidth="1"/>
    <col min="11" max="11" width="15.59765625" customWidth="1"/>
    <col min="12" max="12" width="19.46484375" customWidth="1"/>
    <col min="13" max="13" width="22.86328125" customWidth="1"/>
  </cols>
  <sheetData>
    <row r="1" spans="1:22" ht="15.75" customHeight="1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7"/>
      <c r="K1" s="7"/>
      <c r="L1" s="6" t="s">
        <v>1</v>
      </c>
      <c r="M1" s="6" t="s">
        <v>2</v>
      </c>
      <c r="N1" s="6"/>
      <c r="O1" s="6"/>
      <c r="P1" s="6"/>
      <c r="Q1" s="6"/>
      <c r="R1" s="6"/>
      <c r="S1" s="6"/>
      <c r="T1" s="6"/>
      <c r="U1" s="6"/>
      <c r="V1" s="6"/>
    </row>
    <row r="2" spans="1:22">
      <c r="A2" s="1" t="s">
        <v>16</v>
      </c>
      <c r="B2" s="8">
        <v>9.98</v>
      </c>
      <c r="C2" s="1" t="s">
        <v>3</v>
      </c>
      <c r="D2" s="1" t="s">
        <v>17</v>
      </c>
      <c r="E2" s="1">
        <v>191</v>
      </c>
      <c r="F2" s="8">
        <v>1906.18</v>
      </c>
      <c r="G2" s="1" t="str">
        <f t="shared" ref="G2:G31" si="0">LEFT(A2,5)</f>
        <v>51993</v>
      </c>
      <c r="H2" s="1" t="str">
        <f t="shared" ref="H2:H31" si="1">RIGHT(A2,4)</f>
        <v>Masc</v>
      </c>
      <c r="I2" s="9" t="str">
        <f t="shared" ref="I2:I31" si="2">MID(D2,4,2)</f>
        <v>NC</v>
      </c>
      <c r="L2" s="4" t="str">
        <f t="shared" ref="L2:L5" si="3">TRIM(C2)</f>
        <v>Candy's Beauty Supply</v>
      </c>
      <c r="M2" s="5">
        <f>SUM(F2,F7,F9,F15,F23,F28)</f>
        <v>23541.020000000004</v>
      </c>
    </row>
    <row r="3" spans="1:22">
      <c r="A3" s="1" t="s">
        <v>18</v>
      </c>
      <c r="B3" s="8">
        <v>14.49</v>
      </c>
      <c r="C3" s="1" t="s">
        <v>4</v>
      </c>
      <c r="D3" s="1" t="s">
        <v>19</v>
      </c>
      <c r="E3" s="1">
        <v>15</v>
      </c>
      <c r="F3" s="8">
        <v>202.48</v>
      </c>
      <c r="G3" s="1" t="str">
        <f t="shared" si="0"/>
        <v>49631</v>
      </c>
      <c r="H3" s="1" t="str">
        <f t="shared" si="1"/>
        <v>Foun</v>
      </c>
      <c r="I3" s="9" t="str">
        <f t="shared" si="2"/>
        <v>VA</v>
      </c>
      <c r="L3" s="4" t="str">
        <f t="shared" si="3"/>
        <v>Rockland's</v>
      </c>
      <c r="M3" s="5">
        <f>SUM(F3,F6,F10,F11,F14,F19,F30)</f>
        <v>12794.67</v>
      </c>
    </row>
    <row r="4" spans="1:22">
      <c r="A4" s="1" t="s">
        <v>20</v>
      </c>
      <c r="B4" s="8">
        <v>6.74</v>
      </c>
      <c r="C4" s="1" t="s">
        <v>5</v>
      </c>
      <c r="D4" s="1" t="s">
        <v>21</v>
      </c>
      <c r="E4" s="1">
        <v>758</v>
      </c>
      <c r="F4" s="8">
        <v>5108.92</v>
      </c>
      <c r="G4" s="1" t="str">
        <f t="shared" si="0"/>
        <v>42292</v>
      </c>
      <c r="H4" s="1" t="str">
        <f t="shared" si="1"/>
        <v>Glos</v>
      </c>
      <c r="I4" s="9" t="str">
        <f t="shared" si="2"/>
        <v>MD</v>
      </c>
      <c r="L4" s="4" t="str">
        <f t="shared" si="3"/>
        <v>Rudiger Pharmacy</v>
      </c>
      <c r="M4" s="5">
        <f>SUM(F4,F12,F17,F22,F25,F29,F31)</f>
        <v>48753.88</v>
      </c>
    </row>
    <row r="5" spans="1:22">
      <c r="A5" s="1" t="s">
        <v>22</v>
      </c>
      <c r="B5" s="8">
        <v>5.71</v>
      </c>
      <c r="C5" s="1" t="s">
        <v>6</v>
      </c>
      <c r="D5" s="1" t="s">
        <v>23</v>
      </c>
      <c r="E5" s="1">
        <v>308</v>
      </c>
      <c r="F5" s="8">
        <v>1758.68</v>
      </c>
      <c r="G5" s="1" t="str">
        <f t="shared" si="0"/>
        <v>86661</v>
      </c>
      <c r="H5" s="1" t="str">
        <f t="shared" si="1"/>
        <v>Shad</v>
      </c>
      <c r="I5" s="9" t="str">
        <f t="shared" si="2"/>
        <v>SC</v>
      </c>
      <c r="L5" s="4" t="str">
        <f t="shared" si="3"/>
        <v>Elizabethtown Supply</v>
      </c>
      <c r="M5" s="5">
        <f>SUM(F5,F8,F13,F16,F18,F20,F21,F24,F26,F27)</f>
        <v>46644.42</v>
      </c>
    </row>
    <row r="6" spans="1:22">
      <c r="A6" s="1" t="s">
        <v>24</v>
      </c>
      <c r="B6" s="8">
        <v>7.94</v>
      </c>
      <c r="C6" s="1" t="s">
        <v>4</v>
      </c>
      <c r="D6" s="1" t="s">
        <v>25</v>
      </c>
      <c r="E6" s="1">
        <v>5</v>
      </c>
      <c r="F6" s="8">
        <v>97</v>
      </c>
      <c r="G6" s="1" t="str">
        <f t="shared" si="0"/>
        <v>49541</v>
      </c>
      <c r="H6" s="1" t="str">
        <f t="shared" si="1"/>
        <v>Eyel</v>
      </c>
      <c r="I6" s="9" t="str">
        <f t="shared" si="2"/>
        <v>VA</v>
      </c>
    </row>
    <row r="7" spans="1:22">
      <c r="A7" s="1" t="s">
        <v>26</v>
      </c>
      <c r="B7" s="8">
        <v>13.57</v>
      </c>
      <c r="C7" s="1" t="s">
        <v>3</v>
      </c>
      <c r="D7" s="1" t="s">
        <v>27</v>
      </c>
      <c r="E7" s="1">
        <v>673</v>
      </c>
      <c r="F7" s="8">
        <v>9132.61</v>
      </c>
      <c r="G7" s="1" t="str">
        <f t="shared" si="0"/>
        <v>58337</v>
      </c>
      <c r="H7" s="1" t="str">
        <f t="shared" si="1"/>
        <v>Foun</v>
      </c>
      <c r="I7" s="9" t="str">
        <f t="shared" si="2"/>
        <v>NC</v>
      </c>
    </row>
    <row r="8" spans="1:22">
      <c r="A8" s="1" t="s">
        <v>28</v>
      </c>
      <c r="B8" s="8">
        <v>8.4600000000000009</v>
      </c>
      <c r="C8" s="1" t="s">
        <v>6</v>
      </c>
      <c r="D8" s="1" t="s">
        <v>29</v>
      </c>
      <c r="E8" s="1">
        <v>94</v>
      </c>
      <c r="F8" s="8">
        <v>795.24000000000012</v>
      </c>
      <c r="G8" s="1" t="str">
        <f t="shared" si="0"/>
        <v>40014</v>
      </c>
      <c r="H8" s="1" t="str">
        <f t="shared" si="1"/>
        <v>Masc</v>
      </c>
      <c r="I8" s="9" t="str">
        <f t="shared" si="2"/>
        <v>SC</v>
      </c>
    </row>
    <row r="9" spans="1:22">
      <c r="A9" s="1" t="s">
        <v>30</v>
      </c>
      <c r="B9" s="8">
        <v>5.55</v>
      </c>
      <c r="C9" s="1" t="s">
        <v>3</v>
      </c>
      <c r="D9" s="1" t="s">
        <v>31</v>
      </c>
      <c r="E9" s="1">
        <v>299</v>
      </c>
      <c r="F9" s="8">
        <v>1659.45</v>
      </c>
      <c r="G9" s="1" t="str">
        <f t="shared" si="0"/>
        <v>86139</v>
      </c>
      <c r="H9" s="1" t="str">
        <f t="shared" si="1"/>
        <v>Lips</v>
      </c>
      <c r="I9" s="9" t="str">
        <f t="shared" si="2"/>
        <v>NC</v>
      </c>
    </row>
    <row r="10" spans="1:22">
      <c r="A10" s="1" t="s">
        <v>32</v>
      </c>
      <c r="B10" s="8">
        <v>11.05</v>
      </c>
      <c r="C10" s="1" t="s">
        <v>4</v>
      </c>
      <c r="D10" s="1" t="s">
        <v>33</v>
      </c>
      <c r="E10" s="1">
        <v>86</v>
      </c>
      <c r="F10" s="8">
        <v>2392.5</v>
      </c>
      <c r="G10" s="1" t="str">
        <f t="shared" si="0"/>
        <v>69601</v>
      </c>
      <c r="H10" s="1" t="str">
        <f t="shared" si="1"/>
        <v>Exfo</v>
      </c>
      <c r="I10" s="9" t="str">
        <f t="shared" si="2"/>
        <v>VA</v>
      </c>
    </row>
    <row r="11" spans="1:22">
      <c r="A11" s="1" t="s">
        <v>34</v>
      </c>
      <c r="B11" s="8">
        <v>7.58</v>
      </c>
      <c r="C11" s="1" t="s">
        <v>4</v>
      </c>
      <c r="D11" s="1" t="s">
        <v>35</v>
      </c>
      <c r="E11" s="1">
        <v>19</v>
      </c>
      <c r="F11" s="8">
        <v>1281.02</v>
      </c>
      <c r="G11" s="1" t="str">
        <f t="shared" si="0"/>
        <v>25331</v>
      </c>
      <c r="H11" s="1" t="str">
        <f t="shared" si="1"/>
        <v>Glos</v>
      </c>
      <c r="I11" s="9" t="str">
        <f t="shared" si="2"/>
        <v>VA</v>
      </c>
    </row>
    <row r="12" spans="1:22">
      <c r="A12" s="1" t="s">
        <v>36</v>
      </c>
      <c r="B12" s="10">
        <v>11.75</v>
      </c>
      <c r="C12" s="1" t="s">
        <v>5</v>
      </c>
      <c r="D12" s="1" t="s">
        <v>37</v>
      </c>
      <c r="E12" s="11">
        <v>707</v>
      </c>
      <c r="F12" s="10">
        <f>(B12*E12)</f>
        <v>8307.25</v>
      </c>
      <c r="G12" s="1" t="str">
        <f t="shared" si="0"/>
        <v>85021</v>
      </c>
      <c r="H12" s="1" t="str">
        <f t="shared" si="1"/>
        <v>Foun</v>
      </c>
      <c r="I12" s="9" t="str">
        <f t="shared" si="2"/>
        <v>MD</v>
      </c>
    </row>
    <row r="13" spans="1:22">
      <c r="A13" s="1" t="s">
        <v>38</v>
      </c>
      <c r="B13" s="8">
        <v>10.95</v>
      </c>
      <c r="C13" s="1" t="s">
        <v>6</v>
      </c>
      <c r="D13" s="1" t="s">
        <v>39</v>
      </c>
      <c r="E13" s="1">
        <v>461</v>
      </c>
      <c r="F13" s="8">
        <v>5047.95</v>
      </c>
      <c r="G13" s="1" t="str">
        <f t="shared" si="0"/>
        <v>69030</v>
      </c>
      <c r="H13" s="1" t="str">
        <f t="shared" si="1"/>
        <v>Masc</v>
      </c>
      <c r="I13" s="9" t="str">
        <f t="shared" si="2"/>
        <v>SC</v>
      </c>
    </row>
    <row r="14" spans="1:22">
      <c r="A14" s="1" t="s">
        <v>40</v>
      </c>
      <c r="B14" s="8">
        <v>11.73</v>
      </c>
      <c r="C14" s="1" t="s">
        <v>4</v>
      </c>
      <c r="D14" s="1" t="s">
        <v>41</v>
      </c>
      <c r="E14" s="1">
        <v>78</v>
      </c>
      <c r="F14" s="8">
        <v>19.940000000000001</v>
      </c>
      <c r="G14" s="1" t="str">
        <f t="shared" si="0"/>
        <v>13230</v>
      </c>
      <c r="H14" s="1" t="str">
        <f t="shared" si="1"/>
        <v>Masc</v>
      </c>
      <c r="I14" s="9" t="str">
        <f t="shared" si="2"/>
        <v>VA</v>
      </c>
    </row>
    <row r="15" spans="1:22">
      <c r="A15" s="1" t="s">
        <v>42</v>
      </c>
      <c r="B15" s="8">
        <v>6.66</v>
      </c>
      <c r="C15" s="1" t="s">
        <v>3</v>
      </c>
      <c r="D15" s="1" t="s">
        <v>43</v>
      </c>
      <c r="E15" s="1">
        <v>444</v>
      </c>
      <c r="F15" s="8">
        <v>2957.04</v>
      </c>
      <c r="G15" s="1" t="str">
        <f t="shared" si="0"/>
        <v>91559</v>
      </c>
      <c r="H15" s="1" t="str">
        <f t="shared" si="1"/>
        <v>Eyel</v>
      </c>
      <c r="I15" s="9" t="str">
        <f t="shared" si="2"/>
        <v>NC</v>
      </c>
    </row>
    <row r="16" spans="1:22">
      <c r="A16" s="1" t="s">
        <v>44</v>
      </c>
      <c r="B16" s="8">
        <v>12.06</v>
      </c>
      <c r="C16" s="1" t="s">
        <v>6</v>
      </c>
      <c r="D16" s="1" t="s">
        <v>45</v>
      </c>
      <c r="E16" s="1">
        <v>797</v>
      </c>
      <c r="F16" s="8">
        <v>9611.82</v>
      </c>
      <c r="G16" s="1" t="str">
        <f t="shared" si="0"/>
        <v>62289</v>
      </c>
      <c r="H16" s="1" t="str">
        <f t="shared" si="1"/>
        <v>Masc</v>
      </c>
      <c r="I16" s="9" t="str">
        <f t="shared" si="2"/>
        <v>SC</v>
      </c>
    </row>
    <row r="17" spans="1:9">
      <c r="A17" s="1" t="s">
        <v>46</v>
      </c>
      <c r="B17" s="8">
        <v>12.95</v>
      </c>
      <c r="C17" s="1" t="s">
        <v>5</v>
      </c>
      <c r="D17" s="1" t="s">
        <v>47</v>
      </c>
      <c r="E17" s="1">
        <v>355</v>
      </c>
      <c r="F17" s="8">
        <v>4597.25</v>
      </c>
      <c r="G17" s="1" t="str">
        <f t="shared" si="0"/>
        <v>64762</v>
      </c>
      <c r="H17" s="1" t="str">
        <f t="shared" si="1"/>
        <v>Foun</v>
      </c>
      <c r="I17" s="9" t="str">
        <f t="shared" si="2"/>
        <v>MD</v>
      </c>
    </row>
    <row r="18" spans="1:9">
      <c r="A18" s="1" t="s">
        <v>48</v>
      </c>
      <c r="B18" s="8">
        <v>13.09</v>
      </c>
      <c r="C18" s="1" t="s">
        <v>6</v>
      </c>
      <c r="D18" s="1" t="s">
        <v>49</v>
      </c>
      <c r="E18" s="1">
        <v>232</v>
      </c>
      <c r="F18" s="8">
        <v>3036.88</v>
      </c>
      <c r="G18" s="1" t="str">
        <f t="shared" si="0"/>
        <v>52341</v>
      </c>
      <c r="H18" s="1" t="str">
        <f t="shared" si="1"/>
        <v>Foun</v>
      </c>
      <c r="I18" s="9" t="str">
        <f t="shared" si="2"/>
        <v>SC</v>
      </c>
    </row>
    <row r="19" spans="1:9">
      <c r="A19" s="1" t="s">
        <v>50</v>
      </c>
      <c r="B19" s="8">
        <v>15.77</v>
      </c>
      <c r="C19" s="1" t="s">
        <v>4</v>
      </c>
      <c r="D19" s="1" t="s">
        <v>51</v>
      </c>
      <c r="E19" s="1">
        <v>514</v>
      </c>
      <c r="F19" s="8">
        <v>3105.78</v>
      </c>
      <c r="G19" s="1" t="str">
        <f t="shared" si="0"/>
        <v>68713</v>
      </c>
      <c r="H19" s="1" t="str">
        <f t="shared" si="1"/>
        <v>Exfo</v>
      </c>
      <c r="I19" s="9" t="str">
        <f t="shared" si="2"/>
        <v>VA</v>
      </c>
    </row>
    <row r="20" spans="1:9">
      <c r="A20" s="1" t="s">
        <v>52</v>
      </c>
      <c r="B20" s="8">
        <v>11.82</v>
      </c>
      <c r="C20" s="1" t="s">
        <v>6</v>
      </c>
      <c r="D20" s="1" t="s">
        <v>53</v>
      </c>
      <c r="E20" s="1">
        <v>189</v>
      </c>
      <c r="F20" s="8">
        <v>2233.98</v>
      </c>
      <c r="G20" s="1" t="str">
        <f t="shared" si="0"/>
        <v>35073</v>
      </c>
      <c r="H20" s="1" t="str">
        <f t="shared" si="1"/>
        <v>Foun</v>
      </c>
      <c r="I20" s="9" t="str">
        <f t="shared" si="2"/>
        <v>SC</v>
      </c>
    </row>
    <row r="21" spans="1:9">
      <c r="A21" s="1" t="s">
        <v>54</v>
      </c>
      <c r="B21" s="8">
        <v>11.22</v>
      </c>
      <c r="C21" s="1" t="s">
        <v>6</v>
      </c>
      <c r="D21" s="1" t="s">
        <v>55</v>
      </c>
      <c r="E21" s="1">
        <v>621</v>
      </c>
      <c r="F21" s="8">
        <v>6967.6200000000008</v>
      </c>
      <c r="G21" s="1" t="str">
        <f t="shared" si="0"/>
        <v>17691</v>
      </c>
      <c r="H21" s="1" t="str">
        <f t="shared" si="1"/>
        <v>Masc</v>
      </c>
      <c r="I21" s="9" t="str">
        <f t="shared" si="2"/>
        <v>SC</v>
      </c>
    </row>
    <row r="22" spans="1:9">
      <c r="A22" s="1" t="s">
        <v>56</v>
      </c>
      <c r="B22" s="8">
        <v>7</v>
      </c>
      <c r="C22" s="1" t="s">
        <v>5</v>
      </c>
      <c r="D22" s="1" t="s">
        <v>57</v>
      </c>
      <c r="E22" s="1">
        <v>461</v>
      </c>
      <c r="F22" s="8">
        <v>3227</v>
      </c>
      <c r="G22" s="1" t="str">
        <f t="shared" si="0"/>
        <v>03485</v>
      </c>
      <c r="H22" s="1" t="str">
        <f t="shared" si="1"/>
        <v>Eyel</v>
      </c>
      <c r="I22" s="9" t="str">
        <f t="shared" si="2"/>
        <v>MD</v>
      </c>
    </row>
    <row r="23" spans="1:9">
      <c r="A23" s="1" t="s">
        <v>58</v>
      </c>
      <c r="B23" s="8">
        <v>12.01</v>
      </c>
      <c r="C23" s="1" t="s">
        <v>3</v>
      </c>
      <c r="D23" s="1" t="s">
        <v>59</v>
      </c>
      <c r="E23" s="1">
        <v>146</v>
      </c>
      <c r="F23" s="8">
        <v>1753.46</v>
      </c>
      <c r="G23" s="1" t="str">
        <f t="shared" si="0"/>
        <v>26156</v>
      </c>
      <c r="H23" s="1" t="str">
        <f t="shared" si="1"/>
        <v>Foun</v>
      </c>
      <c r="I23" s="9" t="str">
        <f t="shared" si="2"/>
        <v>NC</v>
      </c>
    </row>
    <row r="24" spans="1:9">
      <c r="A24" s="1" t="s">
        <v>60</v>
      </c>
      <c r="B24" s="8">
        <v>13.24</v>
      </c>
      <c r="C24" s="1" t="s">
        <v>6</v>
      </c>
      <c r="D24" s="1" t="s">
        <v>61</v>
      </c>
      <c r="E24" s="1">
        <v>261</v>
      </c>
      <c r="F24" s="8">
        <v>3455.64</v>
      </c>
      <c r="G24" s="1" t="str">
        <f t="shared" si="0"/>
        <v>75112</v>
      </c>
      <c r="H24" s="1" t="str">
        <f t="shared" si="1"/>
        <v>Foun</v>
      </c>
      <c r="I24" s="9" t="str">
        <f t="shared" si="2"/>
        <v>SC</v>
      </c>
    </row>
    <row r="25" spans="1:9">
      <c r="A25" s="1" t="s">
        <v>62</v>
      </c>
      <c r="B25" s="8">
        <v>10.07</v>
      </c>
      <c r="C25" s="1" t="s">
        <v>5</v>
      </c>
      <c r="D25" s="1" t="s">
        <v>63</v>
      </c>
      <c r="E25" s="1">
        <v>602</v>
      </c>
      <c r="F25" s="8">
        <v>6062.14</v>
      </c>
      <c r="G25" s="1" t="str">
        <f t="shared" si="0"/>
        <v>96799</v>
      </c>
      <c r="H25" s="1" t="str">
        <f t="shared" si="1"/>
        <v>Foun</v>
      </c>
      <c r="I25" s="9" t="str">
        <f t="shared" si="2"/>
        <v>MD</v>
      </c>
    </row>
    <row r="26" spans="1:9">
      <c r="A26" s="1" t="s">
        <v>64</v>
      </c>
      <c r="B26" s="8">
        <v>4.33</v>
      </c>
      <c r="C26" s="1" t="s">
        <v>6</v>
      </c>
      <c r="D26" s="1" t="s">
        <v>65</v>
      </c>
      <c r="E26" s="1">
        <v>225</v>
      </c>
      <c r="F26" s="8">
        <v>974.25</v>
      </c>
      <c r="G26" s="1" t="str">
        <f t="shared" si="0"/>
        <v>20559</v>
      </c>
      <c r="H26" s="1" t="str">
        <f t="shared" si="1"/>
        <v>Shad</v>
      </c>
      <c r="I26" s="9" t="str">
        <f t="shared" si="2"/>
        <v>SC</v>
      </c>
    </row>
    <row r="27" spans="1:9">
      <c r="A27" s="1" t="s">
        <v>66</v>
      </c>
      <c r="B27" s="8">
        <v>13.13</v>
      </c>
      <c r="C27" s="1" t="s">
        <v>6</v>
      </c>
      <c r="D27" s="1" t="s">
        <v>67</v>
      </c>
      <c r="E27" s="1">
        <v>972</v>
      </c>
      <c r="F27" s="8">
        <v>12762.36</v>
      </c>
      <c r="G27" s="1" t="str">
        <f t="shared" si="0"/>
        <v>32729</v>
      </c>
      <c r="H27" s="1" t="str">
        <f t="shared" si="1"/>
        <v>Masc</v>
      </c>
      <c r="I27" s="9" t="str">
        <f t="shared" si="2"/>
        <v>SC</v>
      </c>
    </row>
    <row r="28" spans="1:9">
      <c r="A28" s="1" t="s">
        <v>68</v>
      </c>
      <c r="B28" s="8">
        <v>16.940000000000001</v>
      </c>
      <c r="C28" s="1" t="s">
        <v>3</v>
      </c>
      <c r="D28" s="1" t="s">
        <v>69</v>
      </c>
      <c r="E28" s="1">
        <v>362</v>
      </c>
      <c r="F28" s="8">
        <v>6132.2800000000007</v>
      </c>
      <c r="G28" s="1" t="str">
        <f t="shared" si="0"/>
        <v>63094</v>
      </c>
      <c r="H28" s="1" t="str">
        <f t="shared" si="1"/>
        <v>Exfo</v>
      </c>
      <c r="I28" s="9" t="str">
        <f t="shared" si="2"/>
        <v>NC</v>
      </c>
    </row>
    <row r="29" spans="1:9">
      <c r="A29" s="1" t="s">
        <v>70</v>
      </c>
      <c r="B29" s="8">
        <v>9.83</v>
      </c>
      <c r="C29" s="1" t="s">
        <v>5</v>
      </c>
      <c r="D29" s="1" t="s">
        <v>71</v>
      </c>
      <c r="E29" s="1">
        <v>588</v>
      </c>
      <c r="F29" s="8">
        <v>5780.04</v>
      </c>
      <c r="G29" s="1" t="str">
        <f t="shared" si="0"/>
        <v>61207</v>
      </c>
      <c r="H29" s="1" t="str">
        <f t="shared" si="1"/>
        <v>Foun</v>
      </c>
      <c r="I29" s="9" t="str">
        <f t="shared" si="2"/>
        <v>MD</v>
      </c>
    </row>
    <row r="30" spans="1:9">
      <c r="A30" s="1" t="s">
        <v>72</v>
      </c>
      <c r="B30" s="8">
        <v>14.95</v>
      </c>
      <c r="C30" s="1" t="s">
        <v>4</v>
      </c>
      <c r="D30" s="1" t="s">
        <v>73</v>
      </c>
      <c r="E30" s="1">
        <v>381</v>
      </c>
      <c r="F30" s="8">
        <v>5695.95</v>
      </c>
      <c r="G30" s="1" t="str">
        <f t="shared" si="0"/>
        <v>17269</v>
      </c>
      <c r="H30" s="1" t="str">
        <f t="shared" si="1"/>
        <v>Masc</v>
      </c>
      <c r="I30" s="9" t="str">
        <f t="shared" si="2"/>
        <v>VA</v>
      </c>
    </row>
    <row r="31" spans="1:9" ht="12.75">
      <c r="A31" s="1" t="s">
        <v>74</v>
      </c>
      <c r="B31" s="8">
        <v>20.04</v>
      </c>
      <c r="C31" s="1" t="s">
        <v>5</v>
      </c>
      <c r="D31" s="1" t="s">
        <v>75</v>
      </c>
      <c r="E31" s="1">
        <v>782</v>
      </c>
      <c r="F31" s="8">
        <v>15671.28</v>
      </c>
      <c r="G31" s="1" t="str">
        <f t="shared" si="0"/>
        <v>15143</v>
      </c>
      <c r="H31" s="1" t="str">
        <f t="shared" si="1"/>
        <v>Exfo</v>
      </c>
      <c r="I31" s="9" t="str">
        <f t="shared" si="2"/>
        <v>MD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Create your chart here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1839347438@qq.com</cp:lastModifiedBy>
  <dcterms:created xsi:type="dcterms:W3CDTF">2026-06-08T13:13:04Z</dcterms:created>
  <dcterms:modified xsi:type="dcterms:W3CDTF">2026-06-08T13:13:04Z</dcterms:modified>
</cp:coreProperties>
</file>